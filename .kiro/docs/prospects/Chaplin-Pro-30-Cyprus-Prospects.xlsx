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Other computers\My laptop\3Inventors\3Inventors\Websites\chaplin.events\Chaplin Pro\marketing\"/>
    </mc:Choice>
  </mc:AlternateContent>
  <xr:revisionPtr revIDLastSave="0" documentId="13_ncr:1_{08EB717C-7BB5-4727-8E7D-F395B33E715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30 Prospects" sheetId="1" r:id="rId1"/>
    <sheet name="Campaign Summary" sheetId="2" r:id="rId2"/>
    <sheet name="Weekly Call Track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2" l="1"/>
  <c r="B22" i="2"/>
  <c r="B21" i="2"/>
  <c r="B20" i="2"/>
  <c r="B19" i="2"/>
  <c r="B24" i="2" s="1"/>
  <c r="B6" i="2"/>
  <c r="B5" i="2"/>
  <c r="B4" i="2"/>
</calcChain>
</file>

<file path=xl/sharedStrings.xml><?xml version="1.0" encoding="utf-8"?>
<sst xmlns="http://schemas.openxmlformats.org/spreadsheetml/2006/main" count="465" uniqueCount="367">
  <si>
    <t>ID</t>
  </si>
  <si>
    <t>Prospect</t>
  </si>
  <si>
    <t>Segment</t>
  </si>
  <si>
    <t>Location</t>
  </si>
  <si>
    <t>Business Type</t>
  </si>
  <si>
    <t>Public Contact / Role</t>
  </si>
  <si>
    <t>Phone</t>
  </si>
  <si>
    <t>Email</t>
  </si>
  <si>
    <t>Official Website</t>
  </si>
  <si>
    <t>Public Evidence</t>
  </si>
  <si>
    <t>Why Chaplin Pro May Fit</t>
  </si>
  <si>
    <t>ICP Fit /5</t>
  </si>
  <si>
    <t>Pain Probability /5</t>
  </si>
  <si>
    <t>Accessibility /5</t>
  </si>
  <si>
    <t>Learning Value /5</t>
  </si>
  <si>
    <t>Total /20</t>
  </si>
  <si>
    <t>Priority</t>
  </si>
  <si>
    <t>Recommended First Contact</t>
  </si>
  <si>
    <t>Research Source</t>
  </si>
  <si>
    <t>A01</t>
  </si>
  <si>
    <t>EasyConferences</t>
  </si>
  <si>
    <t>Event / Conference</t>
  </si>
  <si>
    <t>Nicosia</t>
  </si>
  <si>
    <t>PCO / conference management</t>
  </si>
  <si>
    <t>General / management</t>
  </si>
  <si>
    <t>+357 22 591900</t>
  </si>
  <si>
    <t>info@easyconferences.eu</t>
  </si>
  <si>
    <t>https://easyconferences.eu/</t>
  </si>
  <si>
    <t>Runs conference/meeting management for academic, corporate, public-sector and association clients; complex recurring external coordination.</t>
  </si>
  <si>
    <t>Strong fit: registrations/submissions already systemised; test remaining client/speaker/sponsor/files/approval collaboration layer.</t>
  </si>
  <si>
    <t>A</t>
  </si>
  <si>
    <t>Call management / conference operations</t>
  </si>
  <si>
    <t>https://legacy.cyprusconferences.org/contact-us/</t>
  </si>
  <si>
    <t>A02</t>
  </si>
  <si>
    <t>CPC Events</t>
  </si>
  <si>
    <t>Limassol</t>
  </si>
  <si>
    <t>Corporate events / DMC</t>
  </si>
  <si>
    <t>Event operations / management</t>
  </si>
  <si>
    <t>https://cpc-events.com/</t>
  </si>
  <si>
    <t>End-to-end corporate events, conferences, suppliers, production, logistics and client briefs.</t>
  </si>
  <si>
    <t>Very high coordination complexity across clients, suppliers, delegates and production; strong discovery value.</t>
  </si>
  <si>
    <t>Ask for event operations director/manager</t>
  </si>
  <si>
    <t>https://cpc-events.com/event-management</t>
  </si>
  <si>
    <t>A03</t>
  </si>
  <si>
    <t>Event Makers Ltd</t>
  </si>
  <si>
    <t>DMC / PCO</t>
  </si>
  <si>
    <t>Robina Demetriou / Evie Demetriou</t>
  </si>
  <si>
    <t>+357 25 323311</t>
  </si>
  <si>
    <t>robina@eventmakers.com.cy; evie@eventmakers.com.cy</t>
  </si>
  <si>
    <t>https://www.eventmakers.com.cy/</t>
  </si>
  <si>
    <t>Handles conference, congress and incentive groups, hotels, activities, transfers and themed events.</t>
  </si>
  <si>
    <t>Multiple external parties and repeatable event workflows suggest strong Chaplin Pro fit.</t>
  </si>
  <si>
    <t>Call named contacts</t>
  </si>
  <si>
    <t>https://www.visitcyprus.com/wp-content/uploads/files/CCB/DMC_and_PCO_Agents_updated_18_11_2022.pdf</t>
  </si>
  <si>
    <t>A04</t>
  </si>
  <si>
    <t>Cubix Minds Events</t>
  </si>
  <si>
    <t>Accredited PCO / event management</t>
  </si>
  <si>
    <t>Louiza Palloura / event team</t>
  </si>
  <si>
    <t>+357 70004464</t>
  </si>
  <si>
    <t>hello@cubix.com.cy</t>
  </si>
  <si>
    <t>https://cubix.com.cy/</t>
  </si>
  <si>
    <t>Plans congresses, conferences, workshops, corporate, sports and charity events; accredited PCO.</t>
  </si>
  <si>
    <t>Excellent fit for project workspaces, stakeholder information collection, files and approvals.</t>
  </si>
  <si>
    <t>Call Louiza / event management</t>
  </si>
  <si>
    <t>https://cubix.com.cy/whoweare/</t>
  </si>
  <si>
    <t>A05</t>
  </si>
  <si>
    <t>Events Lab Cyprus</t>
  </si>
  <si>
    <t>Corporate event management</t>
  </si>
  <si>
    <t>Event management team</t>
  </si>
  <si>
    <t>+357 25 370170</t>
  </si>
  <si>
    <t>info@eventslabcy.com</t>
  </si>
  <si>
    <t>https://www.eventslabcy.com/</t>
  </si>
  <si>
    <t>Full-service corporate events, conferences, logistics, digital registration, hospitality and production.</t>
  </si>
  <si>
    <t>High operational complexity; ideal for testing whether Chaplin complements mature event processes.</t>
  </si>
  <si>
    <t>Call and ask for event director/operations</t>
  </si>
  <si>
    <t>https://www.eventslabcy.com/services/corporate-events</t>
  </si>
  <si>
    <t>A06</t>
  </si>
  <si>
    <t>CorporateEventsCy</t>
  </si>
  <si>
    <t>Corporate event planning / DMC</t>
  </si>
  <si>
    <t>Event planning team</t>
  </si>
  <si>
    <t>+357 96 650507</t>
  </si>
  <si>
    <t>info@corporateeventscy.com</t>
  </si>
  <si>
    <t>https://www.corporateeventscy.com/</t>
  </si>
  <si>
    <t>Corporate events, DMC, suppliers, logistics, invitations, staffing and client-specific planning.</t>
  </si>
  <si>
    <t>Likely fragmented client/supplier coordination; smaller team may allow faster adoption.</t>
  </si>
  <si>
    <t>Call event planning team</t>
  </si>
  <si>
    <t>https://www.corporateeventscy.com/corporate-event-planning/</t>
  </si>
  <si>
    <t>A07</t>
  </si>
  <si>
    <t>Createvents</t>
  </si>
  <si>
    <t>Event planning / production</t>
  </si>
  <si>
    <t>Constantinos Pavlides — Director</t>
  </si>
  <si>
    <t>+357 99 755489</t>
  </si>
  <si>
    <t>info@createvents.com.cy</t>
  </si>
  <si>
    <t>https://www.createvents.com.cy/</t>
  </si>
  <si>
    <t>Plans corporate/private/promotional events plus vendor coordination, production and equipment.</t>
  </si>
  <si>
    <t>Director publicly identified; broad workflow and small-team accessibility make a strong founder-led target.</t>
  </si>
  <si>
    <t>Call Constantinos Pavlides</t>
  </si>
  <si>
    <t>https://www.createvents.com.cy/createvents</t>
  </si>
  <si>
    <t>A08</t>
  </si>
  <si>
    <t>The Cyprus Events Company</t>
  </si>
  <si>
    <t>Paphos</t>
  </si>
  <si>
    <t>Events / entertainment / weddings</t>
  </si>
  <si>
    <t>+357 97 726982</t>
  </si>
  <si>
    <t>info@thecypruseventscompany.com</t>
  </si>
  <si>
    <t>https://thecypruseventscompany.com/</t>
  </si>
  <si>
    <t>Coordinates entertainment, décor, venue sourcing, suppliers and event briefs across Cyprus.</t>
  </si>
  <si>
    <t>Strong external-collaboration workflow; likely useful for briefs, suppliers, files and decisions.</t>
  </si>
  <si>
    <t>Call owner/event planning lead</t>
  </si>
  <si>
    <t>https://thecypruseventscompany.com/events-cyprus/</t>
  </si>
  <si>
    <t>A09</t>
  </si>
  <si>
    <t>Game On Pro Marketing</t>
  </si>
  <si>
    <t>Famagusta</t>
  </si>
  <si>
    <t>Sports events / experiential marketing</t>
  </si>
  <si>
    <t>Management / events team</t>
  </si>
  <si>
    <t>70007271</t>
  </si>
  <si>
    <t>info@gameon.com.cy</t>
  </si>
  <si>
    <t>https://gameon.com.cy/</t>
  </si>
  <si>
    <t>Organises sports events, corporate tournaments and experiential brand activations.</t>
  </si>
  <si>
    <t>Client briefs + event delivery + brand partners create a good cross-over test between events and agency work.</t>
  </si>
  <si>
    <t>Call management / event operations</t>
  </si>
  <si>
    <t>A10</t>
  </si>
  <si>
    <t>gather. Creative Gatherings</t>
  </si>
  <si>
    <t>Cyprus</t>
  </si>
  <si>
    <t>Creative / corporate events</t>
  </si>
  <si>
    <t>Founder / corporate events</t>
  </si>
  <si>
    <t>https://www.gathereventscy.com/en</t>
  </si>
  <si>
    <t>Runs workshops and turnkey corporate events for teams of 10–250; handles concept, venue, décor, programme and photography.</t>
  </si>
  <si>
    <t>Smaller operator; strong test for simple project/client collaboration and repeatable event templates.</t>
  </si>
  <si>
    <t>B</t>
  </si>
  <si>
    <t>Use website contact; ask for founder</t>
  </si>
  <si>
    <t>https://www.gathereventscy.com/en/corporate</t>
  </si>
  <si>
    <t>V01</t>
  </si>
  <si>
    <t>Venue City / Party City</t>
  </si>
  <si>
    <t>Venue</t>
  </si>
  <si>
    <t>Large event venue / full-service events</t>
  </si>
  <si>
    <t>Event planner / coordinator</t>
  </si>
  <si>
    <t>+357 22 952555</t>
  </si>
  <si>
    <t>info@partycity.com.cy</t>
  </si>
  <si>
    <t>https://partycity.com.cy/venue-city/</t>
  </si>
  <si>
    <t>Large venue group with in-house catering, décor, entertainment, planners and coordinators.</t>
  </si>
  <si>
    <t>Very strong venue-client workflow; multiple teams and suppliers; ideal for Chaplin venue use case.</t>
  </si>
  <si>
    <t>Ask for event manager / venue operations</t>
  </si>
  <si>
    <t>V02</t>
  </si>
  <si>
    <t>Monte Caputo</t>
  </si>
  <si>
    <t>Multi-purpose venue</t>
  </si>
  <si>
    <t>Events / sales team</t>
  </si>
  <si>
    <t>https://montecaputo.com.cy/</t>
  </si>
  <si>
    <t>Large venue for weddings, corporate events, concerts, exhibitions and conferences.</t>
  </si>
  <si>
    <t>High event volume/variety likely creates client requirements, decisions and team coordination.</t>
  </si>
  <si>
    <t>Ask for event manager / sales manager</t>
  </si>
  <si>
    <t>V03</t>
  </si>
  <si>
    <t>Pavilion Hall</t>
  </si>
  <si>
    <t>Multi-venue events complex</t>
  </si>
  <si>
    <t>Events team</t>
  </si>
  <si>
    <t>https://pavilionhall.com/en/</t>
  </si>
  <si>
    <t>Hosts weddings, christenings, corporate parties, concerts, TV productions, seminars and examinations.</t>
  </si>
  <si>
    <t>Broad event types and multiple venues make project standardisation/client collaboration worth testing.</t>
  </si>
  <si>
    <t>Ask for events/operations manager</t>
  </si>
  <si>
    <t>V04</t>
  </si>
  <si>
    <t>Lemon Park</t>
  </si>
  <si>
    <t>Wedding / corporate venue</t>
  </si>
  <si>
    <t>+357 77770131</t>
  </si>
  <si>
    <t>lemon@lemonpark.com.cy</t>
  </si>
  <si>
    <t>https://www.lemonpark.com.cy/en/</t>
  </si>
  <si>
    <t>Hosts weddings, christenings, corporate events, seminars and private events with catering.</t>
  </si>
  <si>
    <t>Direct venue-client requirements and planning workflow; accessible contact.</t>
  </si>
  <si>
    <t>Call events manager</t>
  </si>
  <si>
    <t>V05</t>
  </si>
  <si>
    <t>Hilton Nicosia</t>
  </si>
  <si>
    <t>Venue / Hotel</t>
  </si>
  <si>
    <t>Hotel meetings &amp; events</t>
  </si>
  <si>
    <t>Events / conference sales</t>
  </si>
  <si>
    <t>+357 22 695111</t>
  </si>
  <si>
    <t>https://www.hilton.com/en/hotels/niclehi-hilton-nicosia/events/</t>
  </si>
  <si>
    <t>11 meeting rooms and dedicated events team for meetings, functions and social events.</t>
  </si>
  <si>
    <t>High event capacity and team complexity; valuable enterprise test though adoption may face corporate-system constraints.</t>
  </si>
  <si>
    <t>Ask for events/conference sales manager</t>
  </si>
  <si>
    <t>M01</t>
  </si>
  <si>
    <t>Brand Connect</t>
  </si>
  <si>
    <t>Marketing / Creative</t>
  </si>
  <si>
    <t>Experiential marketing / events</t>
  </si>
  <si>
    <t>Management / event team</t>
  </si>
  <si>
    <t>+357 22 262091</t>
  </si>
  <si>
    <t>info@brandconnect.agency</t>
  </si>
  <si>
    <t>https://www.brandconnect.agency/</t>
  </si>
  <si>
    <t>Experiential activations, corporate gatherings, festivals, special occasions and integrated campaigns.</t>
  </si>
  <si>
    <t>Strong briefs, approvals, assets and client collaboration; good non-PCO validation target.</t>
  </si>
  <si>
    <t>Call event/experiential lead</t>
  </si>
  <si>
    <t>M02</t>
  </si>
  <si>
    <t>Magnify Communications</t>
  </si>
  <si>
    <t>Experiential marketing / PR</t>
  </si>
  <si>
    <t>Management / event planning</t>
  </si>
  <si>
    <t>https://www.magnify.com.cy/</t>
  </si>
  <si>
    <t>Experiential PR, brand activations, event planning and team-building projects.</t>
  </si>
  <si>
    <t>Strong agency-client-project fit; useful test of generic Chaplin Pro positioning.</t>
  </si>
  <si>
    <t>Ask for founder / event planning lead</t>
  </si>
  <si>
    <t>M03</t>
  </si>
  <si>
    <t>Purpose Communications</t>
  </si>
  <si>
    <t>PR / communications / event management</t>
  </si>
  <si>
    <t>Dimitris Ioannides — Founder &amp; CEO</t>
  </si>
  <si>
    <t>+357 99 643029; +357 22 251439</t>
  </si>
  <si>
    <t>info@purpose-pr.com</t>
  </si>
  <si>
    <t>https://purpose-pr.com/</t>
  </si>
  <si>
    <t>Manages full event lifecycle including corporate/institutional events, conferences, speakers, stakeholders, content and amplification.</t>
  </si>
  <si>
    <t>Near-textbook fit for structured stakeholder coordination, files, decisions and client collaboration.</t>
  </si>
  <si>
    <t>Call Dimitris / event management team</t>
  </si>
  <si>
    <t>https://purpose-pr.com/services/event-management</t>
  </si>
  <si>
    <t>M04</t>
  </si>
  <si>
    <t>Ledra Advertising</t>
  </si>
  <si>
    <t>Advertising / PR / events</t>
  </si>
  <si>
    <t>PR &amp; event management team</t>
  </si>
  <si>
    <t>+357 22 462020</t>
  </si>
  <si>
    <t>info@ledra.com.cy</t>
  </si>
  <si>
    <t>https://www.ledra.com.cy/</t>
  </si>
  <si>
    <t>Advertising agency with PR and event management from concept to activation.</t>
  </si>
  <si>
    <t>Client briefs, campaign assets, approvals and event execution make strong cross-industry fit.</t>
  </si>
  <si>
    <t>Ask for PR/Event Management lead</t>
  </si>
  <si>
    <t>https://www.ledra.com.cy/our-services/</t>
  </si>
  <si>
    <t>M05</t>
  </si>
  <si>
    <t>Expo Cyprus</t>
  </si>
  <si>
    <t>Northern Cyprus</t>
  </si>
  <si>
    <t>Fair / congress / stand / PR</t>
  </si>
  <si>
    <t>Management / congress operations</t>
  </si>
  <si>
    <t>https://expocyprus.com/</t>
  </si>
  <si>
    <t>Organises fairs and congresses, speaker management, social programmes, stand design, exhibitor consulting and PR.</t>
  </si>
  <si>
    <t>Very high coordination complexity; useful market-learning prospect, but jurisdiction/market may reduce immediate priority.</t>
  </si>
  <si>
    <t>Ask for congress/fair operations lead</t>
  </si>
  <si>
    <t>https://expocyprus.com/en/hizmetler</t>
  </si>
  <si>
    <t>P01</t>
  </si>
  <si>
    <t>Euripides + Associates</t>
  </si>
  <si>
    <t>Professional / Project Services</t>
  </si>
  <si>
    <t>Architecture / engineering / project management</t>
  </si>
  <si>
    <t>Panicos Euripides — CEO</t>
  </si>
  <si>
    <t>+357 22 870835</t>
  </si>
  <si>
    <t>info@euripidesassociates.com</t>
  </si>
  <si>
    <t>https://euripidesassociates.com/</t>
  </si>
  <si>
    <t>Multidisciplinary architecture, engineering, interior design and project management across full project lifecycle.</t>
  </si>
  <si>
    <t>Strong client requirements, multidisciplinary files, approvals and supplier coordination; excellent non-event ICP test.</t>
  </si>
  <si>
    <t>Call CEO / project management lead</t>
  </si>
  <si>
    <t>P02</t>
  </si>
  <si>
    <t>Andreas Marcou Architects</t>
  </si>
  <si>
    <t>Architecture / project management</t>
  </si>
  <si>
    <t>Andreas Marcou / studio</t>
  </si>
  <si>
    <t>+357 22 780010</t>
  </si>
  <si>
    <t>info@andreasmarcou.com</t>
  </si>
  <si>
    <t>https://andreasmarcou.com/</t>
  </si>
  <si>
    <t>Architecture, interior, landscape and full project management from brief to completion.</t>
  </si>
  <si>
    <t>Direct client brief + iterative decisions + drawings/files + project coordination strongly match Chaplin abstractions.</t>
  </si>
  <si>
    <t>Call founder/studio principal</t>
  </si>
  <si>
    <t>P03</t>
  </si>
  <si>
    <t>AT Design Studio</t>
  </si>
  <si>
    <t>Architecture / interior design</t>
  </si>
  <si>
    <t>Annita Terzi — Founder</t>
  </si>
  <si>
    <t>+357 96 664588; +357 22 344034</t>
  </si>
  <si>
    <t>design@annitaterzi.com</t>
  </si>
  <si>
    <t>https://www.atdesignstudio.eu/</t>
  </si>
  <si>
    <t>Integrated architects/interior designers/technical specialists; direct client collaboration from concept to site coordination.</t>
  </si>
  <si>
    <t>Strong fit for briefs, moodboards, files, approvals, decisions and multidisciplinary handoffs.</t>
  </si>
  <si>
    <t>Call Annita Terzi</t>
  </si>
  <si>
    <t>https://www.atdesignstudio.eu/ourstudio</t>
  </si>
  <si>
    <t>P04</t>
  </si>
  <si>
    <t>Paraskevi Design</t>
  </si>
  <si>
    <t>Larnaca</t>
  </si>
  <si>
    <t>Interior design / project management</t>
  </si>
  <si>
    <t>Paraskevi Amiradaki</t>
  </si>
  <si>
    <t>+357 99 431594</t>
  </si>
  <si>
    <t>pamiradak@gmail.com</t>
  </si>
  <si>
    <t>https://paraskevidesign.com/</t>
  </si>
  <si>
    <t>Luxury interior design with project management, contractors, procurement and turnkey projects.</t>
  </si>
  <si>
    <t>Personalised client briefs plus contractor coordination make a strong small-business Chaplin Pro test.</t>
  </si>
  <si>
    <t>Call founder</t>
  </si>
  <si>
    <t>https://paraskevidesign.com/services-interior-design/</t>
  </si>
  <si>
    <t>P05</t>
  </si>
  <si>
    <t>HiSKY Design &amp; Build</t>
  </si>
  <si>
    <t>Design/build / project management</t>
  </si>
  <si>
    <t>Project management team</t>
  </si>
  <si>
    <t>https://www.hisky-build.com/</t>
  </si>
  <si>
    <t>Acts as coordination point between clients, designers, engineers, contractors and suppliers.</t>
  </si>
  <si>
    <t>Extremely strong relationship-operations pattern; direct match to multi-party project coordination.</t>
  </si>
  <si>
    <t>Ask for project management lead</t>
  </si>
  <si>
    <t>https://www.hisky-build.com/project-management</t>
  </si>
  <si>
    <t>E01</t>
  </si>
  <si>
    <t>University of Nicosia — Consultancy &amp; Training Services</t>
  </si>
  <si>
    <t>Education / Training / HR</t>
  </si>
  <si>
    <t>Consultancy / training</t>
  </si>
  <si>
    <t>CTS / Training &amp; Development Unit</t>
  </si>
  <si>
    <t>https://www.unic.ac.cy/tdunit/</t>
  </si>
  <si>
    <t>Commercial consultancy, training and development services for businesses and organisations.</t>
  </si>
  <si>
    <t>Projects involve clients, trainers, participants and deliverables; useful education/professional-services test.</t>
  </si>
  <si>
    <t>Ask for CTS/Training Unit manager</t>
  </si>
  <si>
    <t>https://www.unic.ac.cy/tdunit/consultancy-services/</t>
  </si>
  <si>
    <t>E02</t>
  </si>
  <si>
    <t>Kratis Training &amp; Consulting</t>
  </si>
  <si>
    <t>Training / consulting</t>
  </si>
  <si>
    <t>Management / consulting team</t>
  </si>
  <si>
    <t>https://www.kratisconsulting.com/</t>
  </si>
  <si>
    <t>Boutique training/consulting organisation delivering corporate training, consulting and research initiatives.</t>
  </si>
  <si>
    <t>Recurring client programmes, trainers, materials and participant coordination; moderate-to-strong fit.</t>
  </si>
  <si>
    <t>Ask for managing director / training operations</t>
  </si>
  <si>
    <t>E03</t>
  </si>
  <si>
    <t>IPE — Infocredit Professional Education</t>
  </si>
  <si>
    <t>Corporate training</t>
  </si>
  <si>
    <t>Corporate training team</t>
  </si>
  <si>
    <t>+357 22 398000</t>
  </si>
  <si>
    <t>info@ipe.com.cy</t>
  </si>
  <si>
    <t>https://ipe.com.cy/</t>
  </si>
  <si>
    <t>80+ seminars annually plus customised corporate programmes across Cyprus and online.</t>
  </si>
  <si>
    <t>High recurring programme volume; client requirements, trainers, participants and documents create strong workflow test.</t>
  </si>
  <si>
    <t>Call corporate training manager</t>
  </si>
  <si>
    <t>https://ipe.com.cy/corporate</t>
  </si>
  <si>
    <t>E04</t>
  </si>
  <si>
    <t>STIRIXIS Business Consulting / Training Centre</t>
  </si>
  <si>
    <t>Training / events / consulting</t>
  </si>
  <si>
    <t>Training centre management</t>
  </si>
  <si>
    <t>+357 22 486135</t>
  </si>
  <si>
    <t>info@stirixis-consulting.com.cy</t>
  </si>
  <si>
    <t>https://stirixis-consulting.com.cy/</t>
  </si>
  <si>
    <t>Certified training centre plus events, meetings and corporate programmes.</t>
  </si>
  <si>
    <t>Training/event operations with clients and participants; accessible local prospect.</t>
  </si>
  <si>
    <t>Call training centre manager</t>
  </si>
  <si>
    <t>https://stirixis-consulting.com.cy/en/training-centre/</t>
  </si>
  <si>
    <t>E05</t>
  </si>
  <si>
    <t>Aspon Consulting</t>
  </si>
  <si>
    <t>Consulting / corporate training</t>
  </si>
  <si>
    <t>Training / consulting team</t>
  </si>
  <si>
    <t>+357 22 270897; +357 22 270896</t>
  </si>
  <si>
    <t>info@aspon.com.cy</t>
  </si>
  <si>
    <t>https://aspon.com.cy/</t>
  </si>
  <si>
    <t>Designs bespoke corporate training and provides consulting across business, sustainability, environmental and EU programmes.</t>
  </si>
  <si>
    <t>Client-specific programmes and consulting projects create recurring collaboration, files and approvals.</t>
  </si>
  <si>
    <t>Call consulting/training lead</t>
  </si>
  <si>
    <t>https://aspon.com.cy/training/</t>
  </si>
  <si>
    <t>Chaplin Pro — Cyprus Founder-Led Prospecting Cohort</t>
  </si>
  <si>
    <t>Metric</t>
  </si>
  <si>
    <t>Value</t>
  </si>
  <si>
    <t>Operating Rhythm</t>
  </si>
  <si>
    <t>Total researched prospects</t>
  </si>
  <si>
    <t>Monday</t>
  </si>
  <si>
    <t>Research/qualify next prospects</t>
  </si>
  <si>
    <t>Priority A</t>
  </si>
  <si>
    <t>Tuesday</t>
  </si>
  <si>
    <t>5 new calls + follow-ups/demos</t>
  </si>
  <si>
    <t>Priority B</t>
  </si>
  <si>
    <t>Wednesday</t>
  </si>
  <si>
    <t>Initial new-call objective / week</t>
  </si>
  <si>
    <t>Thursday</t>
  </si>
  <si>
    <t>Suggested new calls / day (Tue–Thu)</t>
  </si>
  <si>
    <t>Friday</t>
  </si>
  <si>
    <t>Review evidence + build next week's leads</t>
  </si>
  <si>
    <t>Research Notes</t>
  </si>
  <si>
    <t>Scores are research hypotheses based on publicly visible workflows, not verified internal pain. Public contact details should be rechecked immediately before calling. The first objective is discovery: identify repeated pain around client/external collaboration, information collection, files, decisions, approvals, handoffs and project visibility. Existing active leads such as IMH, SPPMEDIA and AdBoards were intentionally not used to fill this 30-new-prospect cohort.</t>
  </si>
  <si>
    <t>Prospects</t>
  </si>
  <si>
    <t>Total</t>
  </si>
  <si>
    <t>Week</t>
  </si>
  <si>
    <t>Date</t>
  </si>
  <si>
    <t>Prospect ID</t>
  </si>
  <si>
    <t>Attempt #</t>
  </si>
  <si>
    <t>Outcome</t>
  </si>
  <si>
    <t>Decision Maker / Person</t>
  </si>
  <si>
    <t>Next Action</t>
  </si>
  <si>
    <t>Follow-up Date</t>
  </si>
  <si>
    <t>Exact Pain Language</t>
  </si>
  <si>
    <t>Strongest Chaplin Reaction</t>
  </si>
  <si>
    <t>Missing Capability</t>
  </si>
  <si>
    <t>Pilot Interest</t>
  </si>
  <si>
    <t>Paid Interest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</si>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</sst>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0E5B9C"/>
      <name val="Carlito"/>
    </font>
    <font>
      <b/>
      <sz val="12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E5B9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1">
    <dxf>
      <font>
        <b/>
        <strike val="0"/>
        <outline val="0"/>
        <shadow val="0"/>
        <u val="none"/>
        <vertAlign val="baseline"/>
        <sz val="12"/>
        <color auto="1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30-Lead Cohort by Segment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Prospects</c:v>
          </c:tx>
          <c:invertIfNegative val="1"/>
          <c:cat>
            <c:strRef>
              <c:f>'Campaign Summary'!$A$19:$A$23</c:f>
              <c:strCache>
                <c:ptCount val="5"/>
                <c:pt idx="0">
                  <c:v>Event / Conference</c:v>
                </c:pt>
                <c:pt idx="1">
                  <c:v>Venue</c:v>
                </c:pt>
                <c:pt idx="2">
                  <c:v>Marketing / Creative</c:v>
                </c:pt>
                <c:pt idx="3">
                  <c:v>Professional / Project Services</c:v>
                </c:pt>
                <c:pt idx="4">
                  <c:v>Education / Training / HR</c:v>
                </c:pt>
              </c:strCache>
            </c:strRef>
          </c:cat>
          <c:val>
            <c:numRef>
              <c:f>'Campaign Summary'!$B$19:$B$23</c:f>
              <c:numCache>
                <c:formatCode>General</c:formatCode>
                <c:ptCount val="5"/>
                <c:pt idx="0">
                  <c:v>10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3-46FC-9D62-02AE834FE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spectsTable" displayName="ProspectsTable" ref="A1:S31" totalsRowShown="0">
  <tableColumns count="19">
    <tableColumn id="1" xr3:uid="{00000000-0010-0000-0000-000001000000}" name="ID"/>
    <tableColumn id="2" xr3:uid="{00000000-0010-0000-0000-000002000000}" name="Prospect" dataDxfId="0"/>
    <tableColumn id="3" xr3:uid="{00000000-0010-0000-0000-000003000000}" name="Segment"/>
    <tableColumn id="4" xr3:uid="{00000000-0010-0000-0000-000004000000}" name="Location"/>
    <tableColumn id="5" xr3:uid="{00000000-0010-0000-0000-000005000000}" name="Business Type"/>
    <tableColumn id="6" xr3:uid="{00000000-0010-0000-0000-000006000000}" name="Public Contact / Role"/>
    <tableColumn id="7" xr3:uid="{00000000-0010-0000-0000-000007000000}" name="Phone"/>
    <tableColumn id="8" xr3:uid="{00000000-0010-0000-0000-000008000000}" name="Email"/>
    <tableColumn id="9" xr3:uid="{00000000-0010-0000-0000-000009000000}" name="Official Website"/>
    <tableColumn id="10" xr3:uid="{00000000-0010-0000-0000-00000A000000}" name="Public Evidence"/>
    <tableColumn id="11" xr3:uid="{00000000-0010-0000-0000-00000B000000}" name="Why Chaplin Pro May Fit"/>
    <tableColumn id="12" xr3:uid="{00000000-0010-0000-0000-00000C000000}" name="ICP Fit /5"/>
    <tableColumn id="13" xr3:uid="{00000000-0010-0000-0000-00000D000000}" name="Pain Probability /5"/>
    <tableColumn id="14" xr3:uid="{00000000-0010-0000-0000-00000E000000}" name="Accessibility /5"/>
    <tableColumn id="15" xr3:uid="{00000000-0010-0000-0000-00000F000000}" name="Learning Value /5"/>
    <tableColumn id="16" xr3:uid="{00000000-0010-0000-0000-000010000000}" name="Total /20"/>
    <tableColumn id="17" xr3:uid="{00000000-0010-0000-0000-000011000000}" name="Priority"/>
    <tableColumn id="18" xr3:uid="{00000000-0010-0000-0000-000012000000}" name="Recommended First Contact"/>
    <tableColumn id="19" xr3:uid="{00000000-0010-0000-0000-000013000000}" name="Research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zoomScale="85" zoomScaleNormal="85" workbookViewId="0">
      <pane xSplit="3" topLeftCell="J1" activePane="topRight" state="frozen"/>
      <selection pane="topRight" activeCell="B2" sqref="B2:B31"/>
    </sheetView>
  </sheetViews>
  <sheetFormatPr defaultRowHeight="14.25"/>
  <cols>
    <col min="1" max="1" width="8" customWidth="1"/>
    <col min="2" max="2" width="27" customWidth="1"/>
    <col min="3" max="3" width="23" customWidth="1"/>
    <col min="4" max="4" width="14" customWidth="1"/>
    <col min="5" max="5" width="27" customWidth="1"/>
    <col min="6" max="6" width="28" customWidth="1"/>
    <col min="7" max="7" width="22" customWidth="1"/>
    <col min="8" max="8" width="30" customWidth="1"/>
    <col min="9" max="9" width="35" customWidth="1"/>
    <col min="10" max="11" width="52" customWidth="1"/>
    <col min="12" max="12" width="11" customWidth="1"/>
    <col min="13" max="13" width="16" customWidth="1"/>
    <col min="14" max="14" width="14" customWidth="1"/>
    <col min="15" max="15" width="15" customWidth="1"/>
    <col min="16" max="16" width="11" customWidth="1"/>
    <col min="17" max="17" width="10" customWidth="1"/>
    <col min="18" max="18" width="32" customWidth="1"/>
    <col min="19" max="19" width="45" customWidth="1"/>
  </cols>
  <sheetData>
    <row r="1" spans="1:19" ht="33.950000000000003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42" customHeight="1">
      <c r="A2" s="4" t="s">
        <v>19</v>
      </c>
      <c r="B2" s="10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5">
        <v>5</v>
      </c>
      <c r="M2" s="5">
        <v>5</v>
      </c>
      <c r="N2" s="5">
        <v>4</v>
      </c>
      <c r="O2" s="5">
        <v>5</v>
      </c>
      <c r="P2" s="5">
        <v>19</v>
      </c>
      <c r="Q2" s="5" t="s">
        <v>30</v>
      </c>
      <c r="R2" s="4" t="s">
        <v>31</v>
      </c>
      <c r="S2" s="4" t="s">
        <v>32</v>
      </c>
    </row>
    <row r="3" spans="1:19" ht="42" customHeight="1">
      <c r="A3" s="4" t="s">
        <v>33</v>
      </c>
      <c r="B3" s="10" t="s">
        <v>34</v>
      </c>
      <c r="C3" s="4" t="s">
        <v>21</v>
      </c>
      <c r="D3" s="4" t="s">
        <v>35</v>
      </c>
      <c r="E3" s="4" t="s">
        <v>36</v>
      </c>
      <c r="F3" s="4" t="s">
        <v>37</v>
      </c>
      <c r="G3" s="4"/>
      <c r="H3" s="4"/>
      <c r="I3" s="4" t="s">
        <v>38</v>
      </c>
      <c r="J3" s="4" t="s">
        <v>39</v>
      </c>
      <c r="K3" s="4" t="s">
        <v>40</v>
      </c>
      <c r="L3" s="5">
        <v>5</v>
      </c>
      <c r="M3" s="5">
        <v>5</v>
      </c>
      <c r="N3" s="5">
        <v>3</v>
      </c>
      <c r="O3" s="5">
        <v>5</v>
      </c>
      <c r="P3" s="5">
        <v>18</v>
      </c>
      <c r="Q3" s="5" t="s">
        <v>30</v>
      </c>
      <c r="R3" s="4" t="s">
        <v>41</v>
      </c>
      <c r="S3" s="4" t="s">
        <v>42</v>
      </c>
    </row>
    <row r="4" spans="1:19" ht="42" customHeight="1">
      <c r="A4" s="4" t="s">
        <v>43</v>
      </c>
      <c r="B4" s="10" t="s">
        <v>44</v>
      </c>
      <c r="C4" s="4" t="s">
        <v>21</v>
      </c>
      <c r="D4" s="4" t="s">
        <v>35</v>
      </c>
      <c r="E4" s="4" t="s">
        <v>45</v>
      </c>
      <c r="F4" s="4" t="s">
        <v>46</v>
      </c>
      <c r="G4" s="4" t="s">
        <v>47</v>
      </c>
      <c r="H4" s="4" t="s">
        <v>48</v>
      </c>
      <c r="I4" s="4" t="s">
        <v>49</v>
      </c>
      <c r="J4" s="4" t="s">
        <v>50</v>
      </c>
      <c r="K4" s="4" t="s">
        <v>51</v>
      </c>
      <c r="L4" s="5">
        <v>5</v>
      </c>
      <c r="M4" s="5">
        <v>5</v>
      </c>
      <c r="N4" s="5">
        <v>5</v>
      </c>
      <c r="O4" s="5">
        <v>5</v>
      </c>
      <c r="P4" s="5">
        <v>20</v>
      </c>
      <c r="Q4" s="5" t="s">
        <v>30</v>
      </c>
      <c r="R4" s="4" t="s">
        <v>52</v>
      </c>
      <c r="S4" s="4" t="s">
        <v>53</v>
      </c>
    </row>
    <row r="5" spans="1:19" ht="42" customHeight="1">
      <c r="A5" s="4" t="s">
        <v>54</v>
      </c>
      <c r="B5" s="10" t="s">
        <v>55</v>
      </c>
      <c r="C5" s="4" t="s">
        <v>21</v>
      </c>
      <c r="D5" s="4" t="s">
        <v>35</v>
      </c>
      <c r="E5" s="4" t="s">
        <v>56</v>
      </c>
      <c r="F5" s="4" t="s">
        <v>57</v>
      </c>
      <c r="G5" s="4" t="s">
        <v>58</v>
      </c>
      <c r="H5" s="4" t="s">
        <v>59</v>
      </c>
      <c r="I5" s="4" t="s">
        <v>60</v>
      </c>
      <c r="J5" s="4" t="s">
        <v>61</v>
      </c>
      <c r="K5" s="4" t="s">
        <v>62</v>
      </c>
      <c r="L5" s="5">
        <v>5</v>
      </c>
      <c r="M5" s="5">
        <v>5</v>
      </c>
      <c r="N5" s="5">
        <v>5</v>
      </c>
      <c r="O5" s="5">
        <v>5</v>
      </c>
      <c r="P5" s="5">
        <v>20</v>
      </c>
      <c r="Q5" s="5" t="s">
        <v>30</v>
      </c>
      <c r="R5" s="4" t="s">
        <v>63</v>
      </c>
      <c r="S5" s="4" t="s">
        <v>64</v>
      </c>
    </row>
    <row r="6" spans="1:19" ht="42" customHeight="1">
      <c r="A6" s="4" t="s">
        <v>65</v>
      </c>
      <c r="B6" s="10" t="s">
        <v>66</v>
      </c>
      <c r="C6" s="4" t="s">
        <v>21</v>
      </c>
      <c r="D6" s="4" t="s">
        <v>35</v>
      </c>
      <c r="E6" s="4" t="s">
        <v>67</v>
      </c>
      <c r="F6" s="4" t="s">
        <v>68</v>
      </c>
      <c r="G6" s="4" t="s">
        <v>69</v>
      </c>
      <c r="H6" s="4" t="s">
        <v>70</v>
      </c>
      <c r="I6" s="4" t="s">
        <v>71</v>
      </c>
      <c r="J6" s="4" t="s">
        <v>72</v>
      </c>
      <c r="K6" s="4" t="s">
        <v>73</v>
      </c>
      <c r="L6" s="5">
        <v>5</v>
      </c>
      <c r="M6" s="5">
        <v>5</v>
      </c>
      <c r="N6" s="5">
        <v>5</v>
      </c>
      <c r="O6" s="5">
        <v>5</v>
      </c>
      <c r="P6" s="5">
        <v>20</v>
      </c>
      <c r="Q6" s="5" t="s">
        <v>30</v>
      </c>
      <c r="R6" s="4" t="s">
        <v>74</v>
      </c>
      <c r="S6" s="4" t="s">
        <v>75</v>
      </c>
    </row>
    <row r="7" spans="1:19" ht="42" customHeight="1">
      <c r="A7" s="4" t="s">
        <v>76</v>
      </c>
      <c r="B7" s="10" t="s">
        <v>77</v>
      </c>
      <c r="C7" s="4" t="s">
        <v>21</v>
      </c>
      <c r="D7" s="4" t="s">
        <v>35</v>
      </c>
      <c r="E7" s="4" t="s">
        <v>78</v>
      </c>
      <c r="F7" s="4" t="s">
        <v>79</v>
      </c>
      <c r="G7" s="4" t="s">
        <v>80</v>
      </c>
      <c r="H7" s="4" t="s">
        <v>81</v>
      </c>
      <c r="I7" s="4" t="s">
        <v>82</v>
      </c>
      <c r="J7" s="4" t="s">
        <v>83</v>
      </c>
      <c r="K7" s="4" t="s">
        <v>84</v>
      </c>
      <c r="L7" s="5">
        <v>5</v>
      </c>
      <c r="M7" s="5">
        <v>5</v>
      </c>
      <c r="N7" s="5">
        <v>5</v>
      </c>
      <c r="O7" s="5">
        <v>4</v>
      </c>
      <c r="P7" s="5">
        <v>19</v>
      </c>
      <c r="Q7" s="5" t="s">
        <v>30</v>
      </c>
      <c r="R7" s="4" t="s">
        <v>85</v>
      </c>
      <c r="S7" s="4" t="s">
        <v>86</v>
      </c>
    </row>
    <row r="8" spans="1:19" ht="42" customHeight="1">
      <c r="A8" s="4" t="s">
        <v>87</v>
      </c>
      <c r="B8" s="10" t="s">
        <v>88</v>
      </c>
      <c r="C8" s="4" t="s">
        <v>21</v>
      </c>
      <c r="D8" s="4" t="s">
        <v>22</v>
      </c>
      <c r="E8" s="4" t="s">
        <v>89</v>
      </c>
      <c r="F8" s="4" t="s">
        <v>90</v>
      </c>
      <c r="G8" s="4" t="s">
        <v>91</v>
      </c>
      <c r="H8" s="4" t="s">
        <v>92</v>
      </c>
      <c r="I8" s="4" t="s">
        <v>93</v>
      </c>
      <c r="J8" s="4" t="s">
        <v>94</v>
      </c>
      <c r="K8" s="4" t="s">
        <v>95</v>
      </c>
      <c r="L8" s="5">
        <v>5</v>
      </c>
      <c r="M8" s="5">
        <v>4</v>
      </c>
      <c r="N8" s="5">
        <v>5</v>
      </c>
      <c r="O8" s="5">
        <v>4</v>
      </c>
      <c r="P8" s="5">
        <v>18</v>
      </c>
      <c r="Q8" s="5" t="s">
        <v>30</v>
      </c>
      <c r="R8" s="4" t="s">
        <v>96</v>
      </c>
      <c r="S8" s="4" t="s">
        <v>97</v>
      </c>
    </row>
    <row r="9" spans="1:19" ht="42" customHeight="1">
      <c r="A9" s="4" t="s">
        <v>98</v>
      </c>
      <c r="B9" s="10" t="s">
        <v>99</v>
      </c>
      <c r="C9" s="4" t="s">
        <v>21</v>
      </c>
      <c r="D9" s="4" t="s">
        <v>100</v>
      </c>
      <c r="E9" s="4" t="s">
        <v>101</v>
      </c>
      <c r="F9" s="4" t="s">
        <v>79</v>
      </c>
      <c r="G9" s="4" t="s">
        <v>102</v>
      </c>
      <c r="H9" s="4" t="s">
        <v>103</v>
      </c>
      <c r="I9" s="4" t="s">
        <v>104</v>
      </c>
      <c r="J9" s="4" t="s">
        <v>105</v>
      </c>
      <c r="K9" s="4" t="s">
        <v>106</v>
      </c>
      <c r="L9" s="5">
        <v>5</v>
      </c>
      <c r="M9" s="5">
        <v>4</v>
      </c>
      <c r="N9" s="5">
        <v>5</v>
      </c>
      <c r="O9" s="5">
        <v>4</v>
      </c>
      <c r="P9" s="5">
        <v>18</v>
      </c>
      <c r="Q9" s="5" t="s">
        <v>30</v>
      </c>
      <c r="R9" s="4" t="s">
        <v>107</v>
      </c>
      <c r="S9" s="4" t="s">
        <v>108</v>
      </c>
    </row>
    <row r="10" spans="1:19" ht="42" customHeight="1">
      <c r="A10" s="4" t="s">
        <v>109</v>
      </c>
      <c r="B10" s="10" t="s">
        <v>110</v>
      </c>
      <c r="C10" s="4" t="s">
        <v>21</v>
      </c>
      <c r="D10" s="4" t="s">
        <v>111</v>
      </c>
      <c r="E10" s="4" t="s">
        <v>112</v>
      </c>
      <c r="F10" s="4" t="s">
        <v>113</v>
      </c>
      <c r="G10" s="4" t="s">
        <v>114</v>
      </c>
      <c r="H10" s="4" t="s">
        <v>115</v>
      </c>
      <c r="I10" s="4" t="s">
        <v>116</v>
      </c>
      <c r="J10" s="4" t="s">
        <v>117</v>
      </c>
      <c r="K10" s="4" t="s">
        <v>118</v>
      </c>
      <c r="L10" s="5">
        <v>5</v>
      </c>
      <c r="M10" s="5">
        <v>4</v>
      </c>
      <c r="N10" s="5">
        <v>5</v>
      </c>
      <c r="O10" s="5">
        <v>5</v>
      </c>
      <c r="P10" s="5">
        <v>19</v>
      </c>
      <c r="Q10" s="5" t="s">
        <v>30</v>
      </c>
      <c r="R10" s="4" t="s">
        <v>119</v>
      </c>
      <c r="S10" s="4" t="s">
        <v>116</v>
      </c>
    </row>
    <row r="11" spans="1:19" ht="42" customHeight="1">
      <c r="A11" s="4" t="s">
        <v>120</v>
      </c>
      <c r="B11" s="10" t="s">
        <v>121</v>
      </c>
      <c r="C11" s="4" t="s">
        <v>21</v>
      </c>
      <c r="D11" s="4" t="s">
        <v>122</v>
      </c>
      <c r="E11" s="4" t="s">
        <v>123</v>
      </c>
      <c r="F11" s="4" t="s">
        <v>124</v>
      </c>
      <c r="G11" s="4"/>
      <c r="H11" s="4"/>
      <c r="I11" s="4" t="s">
        <v>125</v>
      </c>
      <c r="J11" s="4" t="s">
        <v>126</v>
      </c>
      <c r="K11" s="4" t="s">
        <v>127</v>
      </c>
      <c r="L11" s="5">
        <v>4</v>
      </c>
      <c r="M11" s="5">
        <v>4</v>
      </c>
      <c r="N11" s="5">
        <v>3</v>
      </c>
      <c r="O11" s="5">
        <v>4</v>
      </c>
      <c r="P11" s="5">
        <v>15</v>
      </c>
      <c r="Q11" s="5" t="s">
        <v>128</v>
      </c>
      <c r="R11" s="4" t="s">
        <v>129</v>
      </c>
      <c r="S11" s="4" t="s">
        <v>130</v>
      </c>
    </row>
    <row r="12" spans="1:19" ht="42" customHeight="1">
      <c r="A12" s="4" t="s">
        <v>131</v>
      </c>
      <c r="B12" s="10" t="s">
        <v>132</v>
      </c>
      <c r="C12" s="4" t="s">
        <v>133</v>
      </c>
      <c r="D12" s="4" t="s">
        <v>22</v>
      </c>
      <c r="E12" s="4" t="s">
        <v>134</v>
      </c>
      <c r="F12" s="4" t="s">
        <v>135</v>
      </c>
      <c r="G12" s="4" t="s">
        <v>136</v>
      </c>
      <c r="H12" s="4" t="s">
        <v>137</v>
      </c>
      <c r="I12" s="4" t="s">
        <v>138</v>
      </c>
      <c r="J12" s="4" t="s">
        <v>139</v>
      </c>
      <c r="K12" s="4" t="s">
        <v>140</v>
      </c>
      <c r="L12" s="5">
        <v>5</v>
      </c>
      <c r="M12" s="5">
        <v>5</v>
      </c>
      <c r="N12" s="5">
        <v>4</v>
      </c>
      <c r="O12" s="5">
        <v>5</v>
      </c>
      <c r="P12" s="5">
        <v>19</v>
      </c>
      <c r="Q12" s="5" t="s">
        <v>30</v>
      </c>
      <c r="R12" s="4" t="s">
        <v>141</v>
      </c>
      <c r="S12" s="4" t="s">
        <v>138</v>
      </c>
    </row>
    <row r="13" spans="1:19" ht="42" customHeight="1">
      <c r="A13" s="4" t="s">
        <v>142</v>
      </c>
      <c r="B13" s="10" t="s">
        <v>143</v>
      </c>
      <c r="C13" s="4" t="s">
        <v>133</v>
      </c>
      <c r="D13" s="4" t="s">
        <v>35</v>
      </c>
      <c r="E13" s="4" t="s">
        <v>144</v>
      </c>
      <c r="F13" s="4" t="s">
        <v>145</v>
      </c>
      <c r="G13" s="4"/>
      <c r="H13" s="4"/>
      <c r="I13" s="4" t="s">
        <v>146</v>
      </c>
      <c r="J13" s="4" t="s">
        <v>147</v>
      </c>
      <c r="K13" s="4" t="s">
        <v>148</v>
      </c>
      <c r="L13" s="5">
        <v>5</v>
      </c>
      <c r="M13" s="5">
        <v>5</v>
      </c>
      <c r="N13" s="5">
        <v>3</v>
      </c>
      <c r="O13" s="5">
        <v>5</v>
      </c>
      <c r="P13" s="5">
        <v>18</v>
      </c>
      <c r="Q13" s="5" t="s">
        <v>30</v>
      </c>
      <c r="R13" s="4" t="s">
        <v>149</v>
      </c>
      <c r="S13" s="4" t="s">
        <v>146</v>
      </c>
    </row>
    <row r="14" spans="1:19" ht="42" customHeight="1">
      <c r="A14" s="4" t="s">
        <v>150</v>
      </c>
      <c r="B14" s="10" t="s">
        <v>151</v>
      </c>
      <c r="C14" s="4" t="s">
        <v>133</v>
      </c>
      <c r="D14" s="4" t="s">
        <v>22</v>
      </c>
      <c r="E14" s="4" t="s">
        <v>152</v>
      </c>
      <c r="F14" s="4" t="s">
        <v>153</v>
      </c>
      <c r="G14" s="4"/>
      <c r="H14" s="4"/>
      <c r="I14" s="4" t="s">
        <v>154</v>
      </c>
      <c r="J14" s="4" t="s">
        <v>155</v>
      </c>
      <c r="K14" s="4" t="s">
        <v>156</v>
      </c>
      <c r="L14" s="5">
        <v>5</v>
      </c>
      <c r="M14" s="5">
        <v>4</v>
      </c>
      <c r="N14" s="5">
        <v>3</v>
      </c>
      <c r="O14" s="5">
        <v>4</v>
      </c>
      <c r="P14" s="5">
        <v>16</v>
      </c>
      <c r="Q14" s="5" t="s">
        <v>30</v>
      </c>
      <c r="R14" s="4" t="s">
        <v>157</v>
      </c>
      <c r="S14" s="4" t="s">
        <v>154</v>
      </c>
    </row>
    <row r="15" spans="1:19" ht="42" customHeight="1">
      <c r="A15" s="4" t="s">
        <v>158</v>
      </c>
      <c r="B15" s="10" t="s">
        <v>159</v>
      </c>
      <c r="C15" s="4" t="s">
        <v>133</v>
      </c>
      <c r="D15" s="4" t="s">
        <v>22</v>
      </c>
      <c r="E15" s="4" t="s">
        <v>160</v>
      </c>
      <c r="F15" s="4" t="s">
        <v>153</v>
      </c>
      <c r="G15" s="4" t="s">
        <v>161</v>
      </c>
      <c r="H15" s="4" t="s">
        <v>162</v>
      </c>
      <c r="I15" s="4" t="s">
        <v>163</v>
      </c>
      <c r="J15" s="4" t="s">
        <v>164</v>
      </c>
      <c r="K15" s="4" t="s">
        <v>165</v>
      </c>
      <c r="L15" s="5">
        <v>5</v>
      </c>
      <c r="M15" s="5">
        <v>4</v>
      </c>
      <c r="N15" s="5">
        <v>5</v>
      </c>
      <c r="O15" s="5">
        <v>4</v>
      </c>
      <c r="P15" s="5">
        <v>18</v>
      </c>
      <c r="Q15" s="5" t="s">
        <v>30</v>
      </c>
      <c r="R15" s="4" t="s">
        <v>166</v>
      </c>
      <c r="S15" s="4" t="s">
        <v>163</v>
      </c>
    </row>
    <row r="16" spans="1:19" ht="42" customHeight="1">
      <c r="A16" s="4" t="s">
        <v>167</v>
      </c>
      <c r="B16" s="10" t="s">
        <v>168</v>
      </c>
      <c r="C16" s="4" t="s">
        <v>169</v>
      </c>
      <c r="D16" s="4" t="s">
        <v>22</v>
      </c>
      <c r="E16" s="4" t="s">
        <v>170</v>
      </c>
      <c r="F16" s="4" t="s">
        <v>171</v>
      </c>
      <c r="G16" s="4" t="s">
        <v>172</v>
      </c>
      <c r="H16" s="4"/>
      <c r="I16" s="4" t="s">
        <v>173</v>
      </c>
      <c r="J16" s="4" t="s">
        <v>174</v>
      </c>
      <c r="K16" s="4" t="s">
        <v>175</v>
      </c>
      <c r="L16" s="5">
        <v>4</v>
      </c>
      <c r="M16" s="5">
        <v>5</v>
      </c>
      <c r="N16" s="5">
        <v>3</v>
      </c>
      <c r="O16" s="5">
        <v>5</v>
      </c>
      <c r="P16" s="5">
        <v>17</v>
      </c>
      <c r="Q16" s="5" t="s">
        <v>30</v>
      </c>
      <c r="R16" s="4" t="s">
        <v>176</v>
      </c>
      <c r="S16" s="4" t="s">
        <v>173</v>
      </c>
    </row>
    <row r="17" spans="1:19" ht="42" customHeight="1">
      <c r="A17" s="4" t="s">
        <v>177</v>
      </c>
      <c r="B17" s="10" t="s">
        <v>178</v>
      </c>
      <c r="C17" s="4" t="s">
        <v>179</v>
      </c>
      <c r="D17" s="4" t="s">
        <v>22</v>
      </c>
      <c r="E17" s="4" t="s">
        <v>180</v>
      </c>
      <c r="F17" s="4" t="s">
        <v>181</v>
      </c>
      <c r="G17" s="4" t="s">
        <v>182</v>
      </c>
      <c r="H17" s="4" t="s">
        <v>183</v>
      </c>
      <c r="I17" s="4" t="s">
        <v>184</v>
      </c>
      <c r="J17" s="4" t="s">
        <v>185</v>
      </c>
      <c r="K17" s="4" t="s">
        <v>186</v>
      </c>
      <c r="L17" s="5">
        <v>5</v>
      </c>
      <c r="M17" s="5">
        <v>5</v>
      </c>
      <c r="N17" s="5">
        <v>5</v>
      </c>
      <c r="O17" s="5">
        <v>5</v>
      </c>
      <c r="P17" s="5">
        <v>20</v>
      </c>
      <c r="Q17" s="5" t="s">
        <v>30</v>
      </c>
      <c r="R17" s="4" t="s">
        <v>187</v>
      </c>
      <c r="S17" s="4" t="s">
        <v>184</v>
      </c>
    </row>
    <row r="18" spans="1:19" ht="42" customHeight="1">
      <c r="A18" s="4" t="s">
        <v>188</v>
      </c>
      <c r="B18" s="10" t="s">
        <v>189</v>
      </c>
      <c r="C18" s="4" t="s">
        <v>179</v>
      </c>
      <c r="D18" s="4" t="s">
        <v>122</v>
      </c>
      <c r="E18" s="4" t="s">
        <v>190</v>
      </c>
      <c r="F18" s="4" t="s">
        <v>191</v>
      </c>
      <c r="G18" s="4"/>
      <c r="H18" s="4"/>
      <c r="I18" s="4" t="s">
        <v>192</v>
      </c>
      <c r="J18" s="4" t="s">
        <v>193</v>
      </c>
      <c r="K18" s="4" t="s">
        <v>194</v>
      </c>
      <c r="L18" s="5">
        <v>5</v>
      </c>
      <c r="M18" s="5">
        <v>5</v>
      </c>
      <c r="N18" s="5">
        <v>3</v>
      </c>
      <c r="O18" s="5">
        <v>5</v>
      </c>
      <c r="P18" s="5">
        <v>18</v>
      </c>
      <c r="Q18" s="5" t="s">
        <v>30</v>
      </c>
      <c r="R18" s="4" t="s">
        <v>195</v>
      </c>
      <c r="S18" s="4" t="s">
        <v>192</v>
      </c>
    </row>
    <row r="19" spans="1:19" ht="42" customHeight="1">
      <c r="A19" s="4" t="s">
        <v>196</v>
      </c>
      <c r="B19" s="10" t="s">
        <v>197</v>
      </c>
      <c r="C19" s="4" t="s">
        <v>179</v>
      </c>
      <c r="D19" s="4" t="s">
        <v>22</v>
      </c>
      <c r="E19" s="4" t="s">
        <v>198</v>
      </c>
      <c r="F19" s="4" t="s">
        <v>199</v>
      </c>
      <c r="G19" s="4" t="s">
        <v>200</v>
      </c>
      <c r="H19" s="4" t="s">
        <v>201</v>
      </c>
      <c r="I19" s="4" t="s">
        <v>202</v>
      </c>
      <c r="J19" s="4" t="s">
        <v>203</v>
      </c>
      <c r="K19" s="4" t="s">
        <v>204</v>
      </c>
      <c r="L19" s="5">
        <v>5</v>
      </c>
      <c r="M19" s="5">
        <v>5</v>
      </c>
      <c r="N19" s="5">
        <v>5</v>
      </c>
      <c r="O19" s="5">
        <v>5</v>
      </c>
      <c r="P19" s="5">
        <v>20</v>
      </c>
      <c r="Q19" s="5" t="s">
        <v>30</v>
      </c>
      <c r="R19" s="4" t="s">
        <v>205</v>
      </c>
      <c r="S19" s="4" t="s">
        <v>206</v>
      </c>
    </row>
    <row r="20" spans="1:19" ht="42" customHeight="1">
      <c r="A20" s="4" t="s">
        <v>207</v>
      </c>
      <c r="B20" s="10" t="s">
        <v>208</v>
      </c>
      <c r="C20" s="4" t="s">
        <v>179</v>
      </c>
      <c r="D20" s="4" t="s">
        <v>22</v>
      </c>
      <c r="E20" s="4" t="s">
        <v>209</v>
      </c>
      <c r="F20" s="4" t="s">
        <v>210</v>
      </c>
      <c r="G20" s="4" t="s">
        <v>211</v>
      </c>
      <c r="H20" s="4" t="s">
        <v>212</v>
      </c>
      <c r="I20" s="4" t="s">
        <v>213</v>
      </c>
      <c r="J20" s="4" t="s">
        <v>214</v>
      </c>
      <c r="K20" s="4" t="s">
        <v>215</v>
      </c>
      <c r="L20" s="5">
        <v>5</v>
      </c>
      <c r="M20" s="5">
        <v>4</v>
      </c>
      <c r="N20" s="5">
        <v>5</v>
      </c>
      <c r="O20" s="5">
        <v>5</v>
      </c>
      <c r="P20" s="5">
        <v>19</v>
      </c>
      <c r="Q20" s="5" t="s">
        <v>30</v>
      </c>
      <c r="R20" s="4" t="s">
        <v>216</v>
      </c>
      <c r="S20" s="4" t="s">
        <v>217</v>
      </c>
    </row>
    <row r="21" spans="1:19" ht="42" customHeight="1">
      <c r="A21" s="4" t="s">
        <v>218</v>
      </c>
      <c r="B21" s="10" t="s">
        <v>219</v>
      </c>
      <c r="C21" s="4" t="s">
        <v>179</v>
      </c>
      <c r="D21" s="4" t="s">
        <v>220</v>
      </c>
      <c r="E21" s="4" t="s">
        <v>221</v>
      </c>
      <c r="F21" s="4" t="s">
        <v>222</v>
      </c>
      <c r="G21" s="4"/>
      <c r="H21" s="4"/>
      <c r="I21" s="4" t="s">
        <v>223</v>
      </c>
      <c r="J21" s="4" t="s">
        <v>224</v>
      </c>
      <c r="K21" s="4" t="s">
        <v>225</v>
      </c>
      <c r="L21" s="5">
        <v>5</v>
      </c>
      <c r="M21" s="5">
        <v>5</v>
      </c>
      <c r="N21" s="5">
        <v>2</v>
      </c>
      <c r="O21" s="5">
        <v>5</v>
      </c>
      <c r="P21" s="5">
        <v>17</v>
      </c>
      <c r="Q21" s="5" t="s">
        <v>30</v>
      </c>
      <c r="R21" s="4" t="s">
        <v>226</v>
      </c>
      <c r="S21" s="4" t="s">
        <v>227</v>
      </c>
    </row>
    <row r="22" spans="1:19" ht="42" customHeight="1">
      <c r="A22" s="4" t="s">
        <v>228</v>
      </c>
      <c r="B22" s="10" t="s">
        <v>229</v>
      </c>
      <c r="C22" s="4" t="s">
        <v>230</v>
      </c>
      <c r="D22" s="4" t="s">
        <v>22</v>
      </c>
      <c r="E22" s="4" t="s">
        <v>231</v>
      </c>
      <c r="F22" s="4" t="s">
        <v>232</v>
      </c>
      <c r="G22" s="4" t="s">
        <v>233</v>
      </c>
      <c r="H22" s="4" t="s">
        <v>234</v>
      </c>
      <c r="I22" s="4" t="s">
        <v>235</v>
      </c>
      <c r="J22" s="4" t="s">
        <v>236</v>
      </c>
      <c r="K22" s="4" t="s">
        <v>237</v>
      </c>
      <c r="L22" s="5">
        <v>5</v>
      </c>
      <c r="M22" s="5">
        <v>5</v>
      </c>
      <c r="N22" s="5">
        <v>4</v>
      </c>
      <c r="O22" s="5">
        <v>5</v>
      </c>
      <c r="P22" s="5">
        <v>19</v>
      </c>
      <c r="Q22" s="5" t="s">
        <v>30</v>
      </c>
      <c r="R22" s="4" t="s">
        <v>238</v>
      </c>
      <c r="S22" s="4" t="s">
        <v>235</v>
      </c>
    </row>
    <row r="23" spans="1:19" ht="42" customHeight="1">
      <c r="A23" s="4" t="s">
        <v>239</v>
      </c>
      <c r="B23" s="10" t="s">
        <v>240</v>
      </c>
      <c r="C23" s="4" t="s">
        <v>230</v>
      </c>
      <c r="D23" s="4" t="s">
        <v>22</v>
      </c>
      <c r="E23" s="4" t="s">
        <v>241</v>
      </c>
      <c r="F23" s="4" t="s">
        <v>242</v>
      </c>
      <c r="G23" s="4" t="s">
        <v>243</v>
      </c>
      <c r="H23" s="4" t="s">
        <v>244</v>
      </c>
      <c r="I23" s="4" t="s">
        <v>245</v>
      </c>
      <c r="J23" s="4" t="s">
        <v>246</v>
      </c>
      <c r="K23" s="4" t="s">
        <v>247</v>
      </c>
      <c r="L23" s="5">
        <v>5</v>
      </c>
      <c r="M23" s="5">
        <v>5</v>
      </c>
      <c r="N23" s="5">
        <v>5</v>
      </c>
      <c r="O23" s="5">
        <v>5</v>
      </c>
      <c r="P23" s="5">
        <v>20</v>
      </c>
      <c r="Q23" s="5" t="s">
        <v>30</v>
      </c>
      <c r="R23" s="4" t="s">
        <v>248</v>
      </c>
      <c r="S23" s="4" t="s">
        <v>245</v>
      </c>
    </row>
    <row r="24" spans="1:19" ht="42" customHeight="1">
      <c r="A24" s="4" t="s">
        <v>249</v>
      </c>
      <c r="B24" s="10" t="s">
        <v>250</v>
      </c>
      <c r="C24" s="4" t="s">
        <v>230</v>
      </c>
      <c r="D24" s="4" t="s">
        <v>22</v>
      </c>
      <c r="E24" s="4" t="s">
        <v>251</v>
      </c>
      <c r="F24" s="4" t="s">
        <v>252</v>
      </c>
      <c r="G24" s="4" t="s">
        <v>253</v>
      </c>
      <c r="H24" s="4" t="s">
        <v>254</v>
      </c>
      <c r="I24" s="4" t="s">
        <v>255</v>
      </c>
      <c r="J24" s="4" t="s">
        <v>256</v>
      </c>
      <c r="K24" s="4" t="s">
        <v>257</v>
      </c>
      <c r="L24" s="5">
        <v>5</v>
      </c>
      <c r="M24" s="5">
        <v>5</v>
      </c>
      <c r="N24" s="5">
        <v>5</v>
      </c>
      <c r="O24" s="5">
        <v>5</v>
      </c>
      <c r="P24" s="5">
        <v>20</v>
      </c>
      <c r="Q24" s="5" t="s">
        <v>30</v>
      </c>
      <c r="R24" s="4" t="s">
        <v>258</v>
      </c>
      <c r="S24" s="4" t="s">
        <v>259</v>
      </c>
    </row>
    <row r="25" spans="1:19" ht="42" customHeight="1">
      <c r="A25" s="4" t="s">
        <v>260</v>
      </c>
      <c r="B25" s="10" t="s">
        <v>261</v>
      </c>
      <c r="C25" s="4" t="s">
        <v>230</v>
      </c>
      <c r="D25" s="4" t="s">
        <v>262</v>
      </c>
      <c r="E25" s="4" t="s">
        <v>263</v>
      </c>
      <c r="F25" s="4" t="s">
        <v>264</v>
      </c>
      <c r="G25" s="4" t="s">
        <v>265</v>
      </c>
      <c r="H25" s="4" t="s">
        <v>266</v>
      </c>
      <c r="I25" s="4" t="s">
        <v>267</v>
      </c>
      <c r="J25" s="4" t="s">
        <v>268</v>
      </c>
      <c r="K25" s="4" t="s">
        <v>269</v>
      </c>
      <c r="L25" s="5">
        <v>5</v>
      </c>
      <c r="M25" s="5">
        <v>5</v>
      </c>
      <c r="N25" s="5">
        <v>5</v>
      </c>
      <c r="O25" s="5">
        <v>4</v>
      </c>
      <c r="P25" s="5">
        <v>19</v>
      </c>
      <c r="Q25" s="5" t="s">
        <v>30</v>
      </c>
      <c r="R25" s="4" t="s">
        <v>270</v>
      </c>
      <c r="S25" s="4" t="s">
        <v>271</v>
      </c>
    </row>
    <row r="26" spans="1:19" ht="42" customHeight="1">
      <c r="A26" s="4" t="s">
        <v>272</v>
      </c>
      <c r="B26" s="10" t="s">
        <v>273</v>
      </c>
      <c r="C26" s="4" t="s">
        <v>230</v>
      </c>
      <c r="D26" s="4" t="s">
        <v>122</v>
      </c>
      <c r="E26" s="4" t="s">
        <v>274</v>
      </c>
      <c r="F26" s="4" t="s">
        <v>275</v>
      </c>
      <c r="G26" s="4"/>
      <c r="H26" s="4"/>
      <c r="I26" s="4" t="s">
        <v>276</v>
      </c>
      <c r="J26" s="4" t="s">
        <v>277</v>
      </c>
      <c r="K26" s="4" t="s">
        <v>278</v>
      </c>
      <c r="L26" s="5">
        <v>5</v>
      </c>
      <c r="M26" s="5">
        <v>5</v>
      </c>
      <c r="N26" s="5">
        <v>3</v>
      </c>
      <c r="O26" s="5">
        <v>5</v>
      </c>
      <c r="P26" s="5">
        <v>18</v>
      </c>
      <c r="Q26" s="5" t="s">
        <v>30</v>
      </c>
      <c r="R26" s="4" t="s">
        <v>279</v>
      </c>
      <c r="S26" s="4" t="s">
        <v>280</v>
      </c>
    </row>
    <row r="27" spans="1:19" ht="42" customHeight="1">
      <c r="A27" s="4" t="s">
        <v>281</v>
      </c>
      <c r="B27" s="10" t="s">
        <v>282</v>
      </c>
      <c r="C27" s="4" t="s">
        <v>283</v>
      </c>
      <c r="D27" s="4" t="s">
        <v>22</v>
      </c>
      <c r="E27" s="4" t="s">
        <v>284</v>
      </c>
      <c r="F27" s="4" t="s">
        <v>285</v>
      </c>
      <c r="G27" s="4"/>
      <c r="H27" s="4"/>
      <c r="I27" s="4" t="s">
        <v>286</v>
      </c>
      <c r="J27" s="4" t="s">
        <v>287</v>
      </c>
      <c r="K27" s="4" t="s">
        <v>288</v>
      </c>
      <c r="L27" s="5">
        <v>4</v>
      </c>
      <c r="M27" s="5">
        <v>4</v>
      </c>
      <c r="N27" s="5">
        <v>3</v>
      </c>
      <c r="O27" s="5">
        <v>5</v>
      </c>
      <c r="P27" s="5">
        <v>16</v>
      </c>
      <c r="Q27" s="5" t="s">
        <v>30</v>
      </c>
      <c r="R27" s="4" t="s">
        <v>289</v>
      </c>
      <c r="S27" s="4" t="s">
        <v>290</v>
      </c>
    </row>
    <row r="28" spans="1:19" ht="42" customHeight="1">
      <c r="A28" s="4" t="s">
        <v>291</v>
      </c>
      <c r="B28" s="10" t="s">
        <v>292</v>
      </c>
      <c r="C28" s="4" t="s">
        <v>283</v>
      </c>
      <c r="D28" s="4" t="s">
        <v>22</v>
      </c>
      <c r="E28" s="4" t="s">
        <v>293</v>
      </c>
      <c r="F28" s="4" t="s">
        <v>294</v>
      </c>
      <c r="G28" s="4"/>
      <c r="H28" s="4"/>
      <c r="I28" s="4" t="s">
        <v>295</v>
      </c>
      <c r="J28" s="4" t="s">
        <v>296</v>
      </c>
      <c r="K28" s="4" t="s">
        <v>297</v>
      </c>
      <c r="L28" s="5">
        <v>4</v>
      </c>
      <c r="M28" s="5">
        <v>4</v>
      </c>
      <c r="N28" s="5">
        <v>3</v>
      </c>
      <c r="O28" s="5">
        <v>4</v>
      </c>
      <c r="P28" s="5">
        <v>15</v>
      </c>
      <c r="Q28" s="5" t="s">
        <v>128</v>
      </c>
      <c r="R28" s="4" t="s">
        <v>298</v>
      </c>
      <c r="S28" s="4" t="s">
        <v>295</v>
      </c>
    </row>
    <row r="29" spans="1:19" ht="42" customHeight="1">
      <c r="A29" s="4" t="s">
        <v>299</v>
      </c>
      <c r="B29" s="10" t="s">
        <v>300</v>
      </c>
      <c r="C29" s="4" t="s">
        <v>283</v>
      </c>
      <c r="D29" s="4" t="s">
        <v>22</v>
      </c>
      <c r="E29" s="4" t="s">
        <v>301</v>
      </c>
      <c r="F29" s="4" t="s">
        <v>302</v>
      </c>
      <c r="G29" s="4" t="s">
        <v>303</v>
      </c>
      <c r="H29" s="4" t="s">
        <v>304</v>
      </c>
      <c r="I29" s="4" t="s">
        <v>305</v>
      </c>
      <c r="J29" s="4" t="s">
        <v>306</v>
      </c>
      <c r="K29" s="4" t="s">
        <v>307</v>
      </c>
      <c r="L29" s="5">
        <v>5</v>
      </c>
      <c r="M29" s="5">
        <v>5</v>
      </c>
      <c r="N29" s="5">
        <v>5</v>
      </c>
      <c r="O29" s="5">
        <v>5</v>
      </c>
      <c r="P29" s="5">
        <v>20</v>
      </c>
      <c r="Q29" s="5" t="s">
        <v>30</v>
      </c>
      <c r="R29" s="4" t="s">
        <v>308</v>
      </c>
      <c r="S29" s="4" t="s">
        <v>309</v>
      </c>
    </row>
    <row r="30" spans="1:19" ht="42" customHeight="1">
      <c r="A30" s="4" t="s">
        <v>310</v>
      </c>
      <c r="B30" s="10" t="s">
        <v>311</v>
      </c>
      <c r="C30" s="4" t="s">
        <v>283</v>
      </c>
      <c r="D30" s="4" t="s">
        <v>22</v>
      </c>
      <c r="E30" s="4" t="s">
        <v>312</v>
      </c>
      <c r="F30" s="4" t="s">
        <v>313</v>
      </c>
      <c r="G30" s="4" t="s">
        <v>314</v>
      </c>
      <c r="H30" s="4" t="s">
        <v>315</v>
      </c>
      <c r="I30" s="4" t="s">
        <v>316</v>
      </c>
      <c r="J30" s="4" t="s">
        <v>317</v>
      </c>
      <c r="K30" s="4" t="s">
        <v>318</v>
      </c>
      <c r="L30" s="5">
        <v>4</v>
      </c>
      <c r="M30" s="5">
        <v>4</v>
      </c>
      <c r="N30" s="5">
        <v>5</v>
      </c>
      <c r="O30" s="5">
        <v>4</v>
      </c>
      <c r="P30" s="5">
        <v>17</v>
      </c>
      <c r="Q30" s="5" t="s">
        <v>30</v>
      </c>
      <c r="R30" s="4" t="s">
        <v>319</v>
      </c>
      <c r="S30" s="4" t="s">
        <v>320</v>
      </c>
    </row>
    <row r="31" spans="1:19" ht="42" customHeight="1">
      <c r="A31" s="4" t="s">
        <v>321</v>
      </c>
      <c r="B31" s="10" t="s">
        <v>322</v>
      </c>
      <c r="C31" s="4" t="s">
        <v>283</v>
      </c>
      <c r="D31" s="4" t="s">
        <v>22</v>
      </c>
      <c r="E31" s="4" t="s">
        <v>323</v>
      </c>
      <c r="F31" s="4" t="s">
        <v>324</v>
      </c>
      <c r="G31" s="4" t="s">
        <v>325</v>
      </c>
      <c r="H31" s="4" t="s">
        <v>326</v>
      </c>
      <c r="I31" s="4" t="s">
        <v>327</v>
      </c>
      <c r="J31" s="4" t="s">
        <v>328</v>
      </c>
      <c r="K31" s="4" t="s">
        <v>329</v>
      </c>
      <c r="L31" s="5">
        <v>4</v>
      </c>
      <c r="M31" s="5">
        <v>4</v>
      </c>
      <c r="N31" s="5">
        <v>5</v>
      </c>
      <c r="O31" s="5">
        <v>4</v>
      </c>
      <c r="P31" s="5">
        <v>17</v>
      </c>
      <c r="Q31" s="5" t="s">
        <v>30</v>
      </c>
      <c r="R31" s="4" t="s">
        <v>330</v>
      </c>
      <c r="S31" s="4" t="s">
        <v>331</v>
      </c>
    </row>
  </sheetData>
  <conditionalFormatting sqref="P2:P3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Q2:Q31" xr:uid="{00000000-0002-0000-0000-000000000000}">
      <formula1>"A,B,Hold"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selection sqref="A1:H1"/>
    </sheetView>
  </sheetViews>
  <sheetFormatPr defaultRowHeight="14.25"/>
  <cols>
    <col min="1" max="1" width="30" customWidth="1"/>
    <col min="2" max="2" width="22" customWidth="1"/>
    <col min="3" max="3" width="4" customWidth="1"/>
    <col min="4" max="4" width="18" customWidth="1"/>
    <col min="5" max="5" width="35" customWidth="1"/>
    <col min="6" max="8" width="15" customWidth="1"/>
  </cols>
  <sheetData>
    <row r="1" spans="1:8" ht="20.25">
      <c r="A1" s="6" t="s">
        <v>332</v>
      </c>
      <c r="B1" s="6"/>
      <c r="C1" s="6"/>
      <c r="D1" s="6"/>
      <c r="E1" s="6"/>
      <c r="F1" s="6"/>
      <c r="G1" s="6"/>
      <c r="H1" s="6"/>
    </row>
    <row r="3" spans="1:8" ht="15">
      <c r="A3" s="1" t="s">
        <v>333</v>
      </c>
      <c r="B3" s="1" t="s">
        <v>334</v>
      </c>
      <c r="D3" s="7" t="s">
        <v>335</v>
      </c>
      <c r="E3" s="7"/>
      <c r="F3" s="7"/>
      <c r="G3" s="7"/>
      <c r="H3" s="7"/>
    </row>
    <row r="4" spans="1:8">
      <c r="A4" t="s">
        <v>336</v>
      </c>
      <c r="B4">
        <f>COUNTA('30 Prospects'!B2:B31)</f>
        <v>30</v>
      </c>
      <c r="D4" t="s">
        <v>337</v>
      </c>
      <c r="E4" t="s">
        <v>338</v>
      </c>
    </row>
    <row r="5" spans="1:8">
      <c r="A5" t="s">
        <v>339</v>
      </c>
      <c r="B5">
        <f>COUNTIF('30 Prospects'!Q2:Q31,"A")</f>
        <v>28</v>
      </c>
      <c r="D5" t="s">
        <v>340</v>
      </c>
      <c r="E5" t="s">
        <v>341</v>
      </c>
    </row>
    <row r="6" spans="1:8">
      <c r="A6" t="s">
        <v>342</v>
      </c>
      <c r="B6">
        <f>COUNTIF('30 Prospects'!Q2:Q31,"B")</f>
        <v>2</v>
      </c>
      <c r="D6" t="s">
        <v>343</v>
      </c>
      <c r="E6" t="s">
        <v>341</v>
      </c>
    </row>
    <row r="7" spans="1:8">
      <c r="A7" t="s">
        <v>344</v>
      </c>
      <c r="B7">
        <v>15</v>
      </c>
      <c r="D7" t="s">
        <v>345</v>
      </c>
      <c r="E7" t="s">
        <v>341</v>
      </c>
    </row>
    <row r="8" spans="1:8">
      <c r="A8" t="s">
        <v>346</v>
      </c>
      <c r="B8">
        <v>5</v>
      </c>
      <c r="D8" t="s">
        <v>347</v>
      </c>
      <c r="E8" t="s">
        <v>348</v>
      </c>
    </row>
    <row r="10" spans="1:8" ht="15">
      <c r="A10" s="8" t="s">
        <v>349</v>
      </c>
      <c r="B10" s="8"/>
      <c r="C10" s="8"/>
      <c r="D10" s="8"/>
      <c r="E10" s="8"/>
      <c r="F10" s="8"/>
      <c r="G10" s="8"/>
      <c r="H10" s="8"/>
    </row>
    <row r="11" spans="1:8">
      <c r="A11" s="9" t="s">
        <v>350</v>
      </c>
      <c r="B11" s="9"/>
      <c r="C11" s="9"/>
      <c r="D11" s="9"/>
      <c r="E11" s="9"/>
      <c r="F11" s="9"/>
      <c r="G11" s="9"/>
      <c r="H11" s="9"/>
    </row>
    <row r="12" spans="1:8">
      <c r="A12" s="9"/>
      <c r="B12" s="9"/>
      <c r="C12" s="9"/>
      <c r="D12" s="9"/>
      <c r="E12" s="9"/>
      <c r="F12" s="9"/>
      <c r="G12" s="9"/>
      <c r="H12" s="9"/>
    </row>
    <row r="13" spans="1:8">
      <c r="A13" s="9"/>
      <c r="B13" s="9"/>
      <c r="C13" s="9"/>
      <c r="D13" s="9"/>
      <c r="E13" s="9"/>
      <c r="F13" s="9"/>
      <c r="G13" s="9"/>
      <c r="H13" s="9"/>
    </row>
    <row r="14" spans="1:8">
      <c r="A14" s="9"/>
      <c r="B14" s="9"/>
      <c r="C14" s="9"/>
      <c r="D14" s="9"/>
      <c r="E14" s="9"/>
      <c r="F14" s="9"/>
      <c r="G14" s="9"/>
      <c r="H14" s="9"/>
    </row>
    <row r="15" spans="1:8">
      <c r="A15" s="9"/>
      <c r="B15" s="9"/>
      <c r="C15" s="9"/>
      <c r="D15" s="9"/>
      <c r="E15" s="9"/>
      <c r="F15" s="9"/>
      <c r="G15" s="9"/>
      <c r="H15" s="9"/>
    </row>
    <row r="18" spans="1:2" ht="15">
      <c r="A18" s="1" t="s">
        <v>2</v>
      </c>
      <c r="B18" s="1" t="s">
        <v>351</v>
      </c>
    </row>
    <row r="19" spans="1:2">
      <c r="A19" t="s">
        <v>21</v>
      </c>
      <c r="B19">
        <f>COUNTIF('30 Prospects'!C2:C31,A19)</f>
        <v>10</v>
      </c>
    </row>
    <row r="20" spans="1:2">
      <c r="A20" t="s">
        <v>133</v>
      </c>
      <c r="B20">
        <f>COUNTIF('30 Prospects'!C2:C31,A20)</f>
        <v>4</v>
      </c>
    </row>
    <row r="21" spans="1:2">
      <c r="A21" t="s">
        <v>179</v>
      </c>
      <c r="B21">
        <f>COUNTIF('30 Prospects'!C2:C31,A21)</f>
        <v>5</v>
      </c>
    </row>
    <row r="22" spans="1:2">
      <c r="A22" t="s">
        <v>230</v>
      </c>
      <c r="B22">
        <f>COUNTIF('30 Prospects'!C2:C31,A22)</f>
        <v>5</v>
      </c>
    </row>
    <row r="23" spans="1:2">
      <c r="A23" t="s">
        <v>283</v>
      </c>
      <c r="B23">
        <f>COUNTIF('30 Prospects'!C2:C31,A23)</f>
        <v>5</v>
      </c>
    </row>
    <row r="24" spans="1:2">
      <c r="A24" t="s">
        <v>352</v>
      </c>
      <c r="B24">
        <f>SUM(B19:B23)</f>
        <v>29</v>
      </c>
    </row>
  </sheetData>
  <mergeCells count="4">
    <mergeCell ref="A1:H1"/>
    <mergeCell ref="D3:H3"/>
    <mergeCell ref="A10:H10"/>
    <mergeCell ref="A11:H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1"/>
  <sheetViews>
    <sheetView workbookViewId="0"/>
  </sheetViews>
  <sheetFormatPr defaultRowHeight="14.25"/>
  <cols>
    <col min="1" max="1" width="12" customWidth="1"/>
    <col min="2" max="2" width="13" customWidth="1"/>
    <col min="3" max="3" width="12" customWidth="1"/>
    <col min="4" max="4" width="26" customWidth="1"/>
    <col min="5" max="5" width="22" customWidth="1"/>
    <col min="6" max="6" width="10" customWidth="1"/>
    <col min="7" max="7" width="24" customWidth="1"/>
    <col min="8" max="9" width="28" customWidth="1"/>
    <col min="10" max="10" width="15" customWidth="1"/>
    <col min="11" max="11" width="42" customWidth="1"/>
    <col min="12" max="12" width="38" customWidth="1"/>
    <col min="13" max="13" width="35" customWidth="1"/>
    <col min="14" max="15" width="14" customWidth="1"/>
    <col min="16" max="16" width="35" customWidth="1"/>
  </cols>
  <sheetData>
    <row r="1" spans="1:16" ht="15">
      <c r="A1" s="2" t="s">
        <v>353</v>
      </c>
      <c r="B1" s="2" t="s">
        <v>354</v>
      </c>
      <c r="C1" s="2" t="s">
        <v>355</v>
      </c>
      <c r="D1" s="2" t="s">
        <v>1</v>
      </c>
      <c r="E1" s="2" t="s">
        <v>2</v>
      </c>
      <c r="F1" s="2" t="s">
        <v>356</v>
      </c>
      <c r="G1" s="2" t="s">
        <v>357</v>
      </c>
      <c r="H1" s="2" t="s">
        <v>358</v>
      </c>
      <c r="I1" s="2" t="s">
        <v>359</v>
      </c>
      <c r="J1" s="2" t="s">
        <v>360</v>
      </c>
      <c r="K1" s="2" t="s">
        <v>361</v>
      </c>
      <c r="L1" s="2" t="s">
        <v>362</v>
      </c>
      <c r="M1" s="2" t="s">
        <v>363</v>
      </c>
      <c r="N1" s="2" t="s">
        <v>364</v>
      </c>
      <c r="O1" s="2" t="s">
        <v>365</v>
      </c>
      <c r="P1" s="2" t="s">
        <v>366</v>
      </c>
    </row>
    <row r="2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</sheetData>
  <dataValidations count="2">
    <dataValidation type="list" sqref="G2:G101" xr:uid="{00000000-0002-0000-0200-000000000000}">
      <formula1>"No contact,Gatekeeper,Email requested,Decision-maker conversation,Demo booked,Demo completed,Pilot proposed,Pilot active,Not relevant,Paid customer"</formula1>
    </dataValidation>
    <dataValidation type="list" sqref="N2:O101" xr:uid="{00000000-0002-0000-0200-000001000000}">
      <formula1>"Unknown,No,Maybe,Yes"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30 Prospects</vt:lpstr>
      <vt:lpstr>Campaign Summary</vt:lpstr>
      <vt:lpstr>Weekly Call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Giannis Papamichael</cp:lastModifiedBy>
  <dcterms:modified xsi:type="dcterms:W3CDTF">2026-09-22T18:37:54Z</dcterms:modified>
</cp:coreProperties>
</file>